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Users\giuli\Desktop\ResourceOMS\"/>
    </mc:Choice>
  </mc:AlternateContent>
  <xr:revisionPtr revIDLastSave="0" documentId="13_ncr:1_{79FFCB80-CF56-4C84-A9EF-089F5EB4E457}" xr6:coauthVersionLast="46" xr6:coauthVersionMax="46" xr10:uidLastSave="{00000000-0000-0000-0000-000000000000}"/>
  <bookViews>
    <workbookView xWindow="-120" yWindow="-120" windowWidth="29040" windowHeight="15840" xr2:uid="{09E372E6-7650-4887-8C8A-7709C087C598}"/>
  </bookViews>
  <sheets>
    <sheet name="ORDER" sheetId="5" r:id="rId1"/>
    <sheet name="STATUS" sheetId="7" r:id="rId2"/>
  </sheets>
  <functionGroups builtInGroupCount="19"/>
  <definedNames>
    <definedName name="account">ORDER!$B$14</definedName>
    <definedName name="endpoint">ORDER!$B$7</definedName>
    <definedName name="executor">ORDER!$B$15</definedName>
    <definedName name="gateway">ORDER!$B$3</definedName>
    <definedName name="host">ORDER!$B$1</definedName>
    <definedName name="investor">ORDER!$B$16</definedName>
    <definedName name="locationid">ORDER!$B$17</definedName>
    <definedName name="maturity">ORDER!$B$21</definedName>
    <definedName name="orderid">ORDER!$B$9</definedName>
    <definedName name="ordtype">ORDER!$B$11</definedName>
    <definedName name="payoff">ORDER!$B$23</definedName>
    <definedName name="price">ORDER!$B$13</definedName>
    <definedName name="qty">ORDER!$B$10</definedName>
    <definedName name="secretkey">ORDER!$B$5</definedName>
    <definedName name="securityExchange">ORDER!$B$19</definedName>
    <definedName name="securityType">ORDER!$B$20</definedName>
    <definedName name="side">ORDER!$B$12</definedName>
    <definedName name="spimi">ORDER!$B$4</definedName>
    <definedName name="strike">ORDER!$B$22</definedName>
    <definedName name="symbol">ORDER!$B$18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" i="5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FB08391-2A25-48BE-AAA4-9118D62733C6}" keepAlive="1" name="Query - Tabella2" description="Connessione alla query 'Tabella2' nella cartella di lavoro." type="5" refreshedVersion="6" background="1">
    <dbPr connection="Provider=Microsoft.Mashup.OleDb.1;Data Source=$Workbook$;Location=Tabella2;Extended Properties=&quot;&quot;" command="SELECT * FROM [Tabella2]"/>
  </connection>
  <connection id="2" xr16:uid="{D5097A1F-A23D-4AB1-B156-FD99F3ECEC53}" keepAlive="1" name="Query - Tabella4" description="Connessione alla query 'Tabella4' nella cartella di lavoro." type="5" refreshedVersion="6" background="1">
    <dbPr connection="Provider=Microsoft.Mashup.OleDb.1;Data Source=$Workbook$;Location=Tabella4;Extended Properties=&quot;&quot;" command="SELECT * FROM [Tabella4]"/>
  </connection>
</connections>
</file>

<file path=xl/sharedStrings.xml><?xml version="1.0" encoding="utf-8"?>
<sst xmlns="http://schemas.openxmlformats.org/spreadsheetml/2006/main" count="138" uniqueCount="85">
  <si>
    <t>SPIMI</t>
  </si>
  <si>
    <t>U392334</t>
  </si>
  <si>
    <t>ORDERID</t>
  </si>
  <si>
    <t>QTY</t>
  </si>
  <si>
    <t>ORDTYPE</t>
  </si>
  <si>
    <t>SIDE</t>
  </si>
  <si>
    <t>PRICE</t>
  </si>
  <si>
    <t>ACCOUNT</t>
  </si>
  <si>
    <t>EXECUTOR</t>
  </si>
  <si>
    <t>INVESTOR</t>
  </si>
  <si>
    <t>BT</t>
  </si>
  <si>
    <t>LOCATIONID</t>
  </si>
  <si>
    <t>SYMBOL</t>
  </si>
  <si>
    <t>SECURITYEXCHANGE</t>
  </si>
  <si>
    <t>SECURITYTYPE</t>
  </si>
  <si>
    <t>MATURITY</t>
  </si>
  <si>
    <t>STRIKE</t>
  </si>
  <si>
    <t>PAYOFF</t>
  </si>
  <si>
    <t>fastfill</t>
  </si>
  <si>
    <t>clOrdId</t>
  </si>
  <si>
    <t>resourceOrderId</t>
  </si>
  <si>
    <t>sequence</t>
  </si>
  <si>
    <t>orderId</t>
  </si>
  <si>
    <t>timeInForce</t>
  </si>
  <si>
    <t>price</t>
  </si>
  <si>
    <t>qty</t>
  </si>
  <si>
    <t>side</t>
  </si>
  <si>
    <t>status</t>
  </si>
  <si>
    <t>leavesQty</t>
  </si>
  <si>
    <t>avgPx</t>
  </si>
  <si>
    <t>statusText</t>
  </si>
  <si>
    <t>instrument</t>
  </si>
  <si>
    <t>securityExchange</t>
  </si>
  <si>
    <t>securityType</t>
  </si>
  <si>
    <t>maturityMonthYear</t>
  </si>
  <si>
    <t>cfiCode</t>
  </si>
  <si>
    <t>symbol</t>
  </si>
  <si>
    <t>parties</t>
  </si>
  <si>
    <t>account</t>
  </si>
  <si>
    <t>/orders/createSimple</t>
  </si>
  <si>
    <t>ENDPONT</t>
  </si>
  <si>
    <t>GATEWAY</t>
  </si>
  <si>
    <t>HOST</t>
  </si>
  <si>
    <t>SECRET_KEY</t>
  </si>
  <si>
    <t>ENDPOINT</t>
  </si>
  <si>
    <t>LIMIT</t>
  </si>
  <si>
    <t>ordType</t>
  </si>
  <si>
    <t>CV</t>
  </si>
  <si>
    <t>cumQty</t>
  </si>
  <si>
    <t>investor</t>
  </si>
  <si>
    <t>executor</t>
  </si>
  <si>
    <t>creation_time</t>
  </si>
  <si>
    <t>transactTime</t>
  </si>
  <si>
    <t>marketOrderId</t>
  </si>
  <si>
    <t>expireDate</t>
  </si>
  <si>
    <t>origClOrdId</t>
  </si>
  <si>
    <t>dma-rest-res10-svia.cloudfinanza-svil.intesasanpaolo.com</t>
  </si>
  <si>
    <t>BUY</t>
  </si>
  <si>
    <t>lastPx</t>
  </si>
  <si>
    <t>lastQty</t>
  </si>
  <si>
    <t>Filled</t>
  </si>
  <si>
    <t>42010152-0c9e-4121-a746-30718163b0b9</t>
  </si>
  <si>
    <t>spimi</t>
  </si>
  <si>
    <t>gateway</t>
  </si>
  <si>
    <t>I</t>
  </si>
  <si>
    <t>ICE-LIFFE</t>
  </si>
  <si>
    <t>FUT</t>
  </si>
  <si>
    <t>FXXXXX</t>
  </si>
  <si>
    <t>93c8c09a-ab98-491c-be7d-6334a60fc0ca</t>
  </si>
  <si>
    <t>392334|93c8c09a-ab98-491c-be7d-6334a60fc0ca|44239.5608177083</t>
  </si>
  <si>
    <t>2021-02-12T12:27:36.299482</t>
  </si>
  <si>
    <t>2021-02-12T13:27:36.000605</t>
  </si>
  <si>
    <t>ISP</t>
  </si>
  <si>
    <t>IDEM</t>
  </si>
  <si>
    <t>OPT</t>
  </si>
  <si>
    <t>CALL</t>
  </si>
  <si>
    <t>strikePrice</t>
  </si>
  <si>
    <t>OCXXXX</t>
  </si>
  <si>
    <t>payoff</t>
  </si>
  <si>
    <t>MARKET</t>
  </si>
  <si>
    <t>localhost:8080</t>
  </si>
  <si>
    <t>085e8672-f3db-44eb-acf4-c863ba745122</t>
  </si>
  <si>
    <t>392334|085e8672-f3db-44eb-acf4-c863ba745122|44242.5840840278</t>
  </si>
  <si>
    <t>2021-02-15T13:01:04.781371</t>
  </si>
  <si>
    <t>2021-02-15T14:01:05.000332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</si>
</sst>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Alignment="1"/>
    <xf numFmtId="0" fontId="2" fillId="0" borderId="0" xfId="0" applyFont="1" applyAlignment="1"/>
    <xf numFmtId="0" fontId="0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quotePrefix="1" applyNumberFormat="1" applyAlignment="1">
      <alignment horizontal="center"/>
    </xf>
    <xf numFmtId="11" fontId="0" fillId="0" borderId="0" xfId="0" applyNumberFormat="1" applyAlignment="1">
      <alignment horizontal="center"/>
    </xf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3</xdr:row>
          <xdr:rowOff>9525</xdr:rowOff>
        </xdr:from>
        <xdr:to>
          <xdr:col>4</xdr:col>
          <xdr:colOff>523875</xdr:colOff>
          <xdr:row>5</xdr:row>
          <xdr:rowOff>152400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4</xdr:row>
          <xdr:rowOff>85725</xdr:rowOff>
        </xdr:from>
        <xdr:to>
          <xdr:col>1</xdr:col>
          <xdr:colOff>895350</xdr:colOff>
          <xdr:row>6</xdr:row>
          <xdr:rowOff>95250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7D33A5-9D55-4FD8-A2AD-D832762F624A}">
  <sheetPr codeName="Foglio2"/>
  <dimension ref="A1:J35"/>
  <sheetViews>
    <sheetView tabSelected="1" zoomScale="90" zoomScaleNormal="90" workbookViewId="0">
      <selection activeCell="C14" sqref="C14"/>
    </sheetView>
  </sheetViews>
  <sheetFormatPr defaultRowHeight="15" x14ac:dyDescent="0.25"/>
  <cols>
    <col min="1" max="1" width="19" style="1" bestFit="1" customWidth="1"/>
    <col min="2" max="2" width="39.85546875" style="1" bestFit="1" customWidth="1"/>
    <col min="3" max="3" width="54.140625" style="1" bestFit="1" customWidth="1"/>
    <col min="4" max="7" width="9.140625" style="1"/>
    <col min="8" max="8" width="15.7109375" style="1" bestFit="1" customWidth="1"/>
    <col min="9" max="9" width="65.28515625" style="1" bestFit="1" customWidth="1"/>
    <col min="10" max="10" width="9" style="1" bestFit="1" customWidth="1"/>
    <col min="11" max="16384" width="9.140625" style="1"/>
  </cols>
  <sheetData>
    <row r="1" spans="1:9" x14ac:dyDescent="0.25">
      <c r="A1" s="1" t="s">
        <v>42</v>
      </c>
      <c r="B1" s="1" t="s">
        <v>80</v>
      </c>
      <c r="C1" s="1" t="s">
        <v>56</v>
      </c>
    </row>
    <row r="2" spans="1:9" x14ac:dyDescent="0.25">
      <c r="H2" s="1" t="s">
        <v>19</v>
      </c>
      <c r="I2" s="8" t="s">
        <v>81</v>
      </c>
    </row>
    <row r="3" spans="1:9" x14ac:dyDescent="0.25">
      <c r="A3" s="1" t="s">
        <v>41</v>
      </c>
      <c r="B3" s="1" t="s">
        <v>18</v>
      </c>
      <c r="H3" s="1" t="s">
        <v>20</v>
      </c>
      <c r="I3" s="1" t="s">
        <v>82</v>
      </c>
    </row>
    <row r="4" spans="1:9" x14ac:dyDescent="0.25">
      <c r="A4" s="1" t="s">
        <v>0</v>
      </c>
      <c r="B4" s="1" t="s">
        <v>1</v>
      </c>
      <c r="H4" s="1" t="s">
        <v>53</v>
      </c>
      <c r="I4" s="1">
        <v>2829153613</v>
      </c>
    </row>
    <row r="5" spans="1:9" x14ac:dyDescent="0.25">
      <c r="A5" s="1" t="s">
        <v>43</v>
      </c>
      <c r="B5" s="1" t="s">
        <v>61</v>
      </c>
      <c r="H5" s="1" t="s">
        <v>22</v>
      </c>
      <c r="I5" s="1">
        <v>44242.584084027803</v>
      </c>
    </row>
    <row r="6" spans="1:9" x14ac:dyDescent="0.25">
      <c r="H6" s="1" t="s">
        <v>62</v>
      </c>
      <c r="I6" s="1" t="s">
        <v>1</v>
      </c>
    </row>
    <row r="7" spans="1:9" x14ac:dyDescent="0.25">
      <c r="A7" s="1" t="s">
        <v>44</v>
      </c>
      <c r="B7" s="1" t="s">
        <v>39</v>
      </c>
      <c r="H7" s="1" t="s">
        <v>21</v>
      </c>
      <c r="I7" s="1">
        <v>7</v>
      </c>
    </row>
    <row r="8" spans="1:9" x14ac:dyDescent="0.25">
      <c r="H8" s="1" t="s">
        <v>46</v>
      </c>
      <c r="I8" s="1" t="s">
        <v>79</v>
      </c>
    </row>
    <row r="9" spans="1:9" x14ac:dyDescent="0.25">
      <c r="A9" s="1" t="s">
        <v>2</v>
      </c>
      <c r="B9" s="2">
        <f ca="1">NOW()</f>
        <v>44242.584090856479</v>
      </c>
      <c r="H9" s="1" t="s">
        <v>23</v>
      </c>
      <c r="I9" s="1" t="s">
        <v>47</v>
      </c>
    </row>
    <row r="10" spans="1:9" x14ac:dyDescent="0.25">
      <c r="A10" s="1" t="s">
        <v>3</v>
      </c>
      <c r="B10" s="1">
        <v>99</v>
      </c>
      <c r="H10" s="1" t="s">
        <v>25</v>
      </c>
      <c r="I10" s="1">
        <v>99</v>
      </c>
    </row>
    <row r="11" spans="1:9" x14ac:dyDescent="0.25">
      <c r="A11" s="1" t="s">
        <v>4</v>
      </c>
      <c r="B11" s="5" t="s">
        <v>79</v>
      </c>
      <c r="H11" s="1" t="s">
        <v>26</v>
      </c>
      <c r="I11" s="1" t="s">
        <v>57</v>
      </c>
    </row>
    <row r="12" spans="1:9" x14ac:dyDescent="0.25">
      <c r="A12" s="1" t="s">
        <v>5</v>
      </c>
      <c r="B12" s="1" t="s">
        <v>57</v>
      </c>
      <c r="H12" s="1" t="s">
        <v>63</v>
      </c>
      <c r="I12" s="1" t="s">
        <v>18</v>
      </c>
    </row>
    <row r="13" spans="1:9" x14ac:dyDescent="0.25">
      <c r="A13" s="1" t="s">
        <v>6</v>
      </c>
      <c r="B13" s="6"/>
      <c r="H13" s="1" t="s">
        <v>52</v>
      </c>
      <c r="I13" s="1" t="s">
        <v>83</v>
      </c>
    </row>
    <row r="14" spans="1:9" x14ac:dyDescent="0.25">
      <c r="A14" s="1" t="s">
        <v>7</v>
      </c>
      <c r="B14" s="1" t="s">
        <v>10</v>
      </c>
      <c r="H14" s="1" t="s">
        <v>27</v>
      </c>
      <c r="I14" s="1">
        <v>2</v>
      </c>
    </row>
    <row r="15" spans="1:9" x14ac:dyDescent="0.25">
      <c r="A15" s="1" t="s">
        <v>8</v>
      </c>
      <c r="B15" s="1" t="s">
        <v>1</v>
      </c>
      <c r="H15" s="1" t="s">
        <v>58</v>
      </c>
      <c r="I15" s="1">
        <v>1.05</v>
      </c>
    </row>
    <row r="16" spans="1:9" x14ac:dyDescent="0.25">
      <c r="A16" s="1" t="s">
        <v>9</v>
      </c>
      <c r="B16" s="1" t="s">
        <v>1</v>
      </c>
      <c r="H16" s="1" t="s">
        <v>59</v>
      </c>
      <c r="I16" s="1">
        <v>9</v>
      </c>
    </row>
    <row r="17" spans="1:10" x14ac:dyDescent="0.25">
      <c r="A17" s="1" t="s">
        <v>11</v>
      </c>
      <c r="H17" s="1" t="s">
        <v>48</v>
      </c>
      <c r="I17" s="1">
        <v>99</v>
      </c>
    </row>
    <row r="18" spans="1:10" x14ac:dyDescent="0.25">
      <c r="A18" s="1" t="s">
        <v>12</v>
      </c>
      <c r="B18" s="1" t="s">
        <v>72</v>
      </c>
      <c r="H18" s="1" t="s">
        <v>28</v>
      </c>
      <c r="I18" s="1">
        <v>0</v>
      </c>
    </row>
    <row r="19" spans="1:10" x14ac:dyDescent="0.25">
      <c r="A19" s="1" t="s">
        <v>13</v>
      </c>
      <c r="B19" s="1" t="s">
        <v>73</v>
      </c>
      <c r="H19" s="1" t="s">
        <v>29</v>
      </c>
      <c r="I19" s="1">
        <v>1.05</v>
      </c>
    </row>
    <row r="20" spans="1:10" x14ac:dyDescent="0.25">
      <c r="A20" s="1" t="s">
        <v>14</v>
      </c>
      <c r="B20" s="1" t="s">
        <v>74</v>
      </c>
      <c r="H20" s="1" t="s">
        <v>30</v>
      </c>
      <c r="I20" s="1" t="s">
        <v>60</v>
      </c>
    </row>
    <row r="21" spans="1:10" x14ac:dyDescent="0.25">
      <c r="A21" s="1" t="s">
        <v>15</v>
      </c>
      <c r="B21" s="7">
        <v>202712</v>
      </c>
      <c r="H21" s="1" t="s">
        <v>31</v>
      </c>
    </row>
    <row r="22" spans="1:10" x14ac:dyDescent="0.25">
      <c r="A22" s="1" t="s">
        <v>16</v>
      </c>
      <c r="B22" s="1">
        <v>1</v>
      </c>
      <c r="I22" s="1" t="s">
        <v>32</v>
      </c>
      <c r="J22" s="1" t="s">
        <v>73</v>
      </c>
    </row>
    <row r="23" spans="1:10" x14ac:dyDescent="0.25">
      <c r="A23" s="1" t="s">
        <v>17</v>
      </c>
      <c r="B23" s="1" t="s">
        <v>75</v>
      </c>
      <c r="I23" s="1" t="s">
        <v>33</v>
      </c>
      <c r="J23" s="1" t="s">
        <v>74</v>
      </c>
    </row>
    <row r="24" spans="1:10" x14ac:dyDescent="0.25">
      <c r="I24" s="1" t="s">
        <v>34</v>
      </c>
      <c r="J24" s="1">
        <v>202712</v>
      </c>
    </row>
    <row r="25" spans="1:10" x14ac:dyDescent="0.25">
      <c r="I25" s="1" t="s">
        <v>76</v>
      </c>
      <c r="J25" s="1">
        <v>1</v>
      </c>
    </row>
    <row r="26" spans="1:10" x14ac:dyDescent="0.25">
      <c r="I26" s="1" t="s">
        <v>35</v>
      </c>
      <c r="J26" s="1" t="s">
        <v>77</v>
      </c>
    </row>
    <row r="27" spans="1:10" x14ac:dyDescent="0.25">
      <c r="I27" s="1" t="s">
        <v>78</v>
      </c>
      <c r="J27" s="1" t="s">
        <v>75</v>
      </c>
    </row>
    <row r="28" spans="1:10" x14ac:dyDescent="0.25">
      <c r="I28" s="1" t="s">
        <v>36</v>
      </c>
      <c r="J28" s="1" t="s">
        <v>72</v>
      </c>
    </row>
    <row r="29" spans="1:10" x14ac:dyDescent="0.25">
      <c r="H29" s="1" t="s">
        <v>37</v>
      </c>
    </row>
    <row r="30" spans="1:10" x14ac:dyDescent="0.25">
      <c r="I30" s="1" t="s">
        <v>38</v>
      </c>
      <c r="J30" s="1" t="s">
        <v>10</v>
      </c>
    </row>
    <row r="31" spans="1:10" x14ac:dyDescent="0.25">
      <c r="I31" s="1" t="s">
        <v>49</v>
      </c>
      <c r="J31" s="1" t="s">
        <v>1</v>
      </c>
    </row>
    <row r="32" spans="1:10" x14ac:dyDescent="0.25">
      <c r="I32" s="1" t="s">
        <v>50</v>
      </c>
      <c r="J32" s="1" t="s">
        <v>1</v>
      </c>
    </row>
    <row r="33" spans="8:9" x14ac:dyDescent="0.25">
      <c r="H33" s="1" t="s">
        <v>54</v>
      </c>
    </row>
    <row r="34" spans="8:9" x14ac:dyDescent="0.25">
      <c r="H34" s="1" t="s">
        <v>55</v>
      </c>
    </row>
    <row r="35" spans="8:9" x14ac:dyDescent="0.25">
      <c r="H35" s="1" t="s">
        <v>51</v>
      </c>
      <c r="I35" s="1" t="s">
        <v>84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newOrder.newOrder">
                <anchor moveWithCells="1" sizeWithCells="1">
                  <from>
                    <xdr:col>3</xdr:col>
                    <xdr:colOff>38100</xdr:colOff>
                    <xdr:row>3</xdr:row>
                    <xdr:rowOff>9525</xdr:rowOff>
                  </from>
                  <to>
                    <xdr:col>4</xdr:col>
                    <xdr:colOff>523875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E0BD9D-F7D1-47C0-9D11-7AFD30122A17}">
  <sheetPr codeName="Foglio3"/>
  <dimension ref="A1:J32"/>
  <sheetViews>
    <sheetView workbookViewId="0">
      <selection activeCell="B1" sqref="B1"/>
    </sheetView>
  </sheetViews>
  <sheetFormatPr defaultRowHeight="15" x14ac:dyDescent="0.25"/>
  <cols>
    <col min="1" max="1" width="9.7109375" style="3" bestFit="1" customWidth="1"/>
    <col min="2" max="2" width="12" style="3" bestFit="1" customWidth="1"/>
    <col min="3" max="7" width="9.140625" style="3"/>
    <col min="8" max="8" width="15.7109375" style="3" bestFit="1" customWidth="1"/>
    <col min="9" max="9" width="60.7109375" style="3" bestFit="1" customWidth="1"/>
    <col min="10" max="10" width="8.85546875" style="3" bestFit="1" customWidth="1"/>
    <col min="11" max="16384" width="9.140625" style="3"/>
  </cols>
  <sheetData>
    <row r="1" spans="1:9" x14ac:dyDescent="0.25">
      <c r="A1" s="3" t="s">
        <v>40</v>
      </c>
      <c r="B1" s="3" t="s">
        <v>27</v>
      </c>
    </row>
    <row r="2" spans="1:9" x14ac:dyDescent="0.25">
      <c r="A2" s="3" t="s">
        <v>2</v>
      </c>
      <c r="B2" s="1">
        <v>44239.560817708298</v>
      </c>
      <c r="H2" s="3" t="s">
        <v>19</v>
      </c>
      <c r="I2" s="3" t="s">
        <v>68</v>
      </c>
    </row>
    <row r="3" spans="1:9" x14ac:dyDescent="0.25">
      <c r="H3" s="3" t="s">
        <v>20</v>
      </c>
      <c r="I3" s="3" t="s">
        <v>69</v>
      </c>
    </row>
    <row r="4" spans="1:9" x14ac:dyDescent="0.25">
      <c r="H4" s="3" t="s">
        <v>53</v>
      </c>
      <c r="I4" s="3">
        <v>898717694</v>
      </c>
    </row>
    <row r="5" spans="1:9" x14ac:dyDescent="0.25">
      <c r="H5" s="3" t="s">
        <v>22</v>
      </c>
      <c r="I5" s="3">
        <v>44239.560817708298</v>
      </c>
    </row>
    <row r="6" spans="1:9" x14ac:dyDescent="0.25">
      <c r="H6" s="3" t="s">
        <v>62</v>
      </c>
      <c r="I6" s="3" t="s">
        <v>1</v>
      </c>
    </row>
    <row r="7" spans="1:9" x14ac:dyDescent="0.25">
      <c r="H7" s="3" t="s">
        <v>21</v>
      </c>
      <c r="I7" s="3">
        <v>4</v>
      </c>
    </row>
    <row r="8" spans="1:9" x14ac:dyDescent="0.25">
      <c r="H8" s="3" t="s">
        <v>46</v>
      </c>
      <c r="I8" s="3" t="s">
        <v>45</v>
      </c>
    </row>
    <row r="9" spans="1:9" x14ac:dyDescent="0.25">
      <c r="H9" s="3" t="s">
        <v>23</v>
      </c>
      <c r="I9" s="3" t="s">
        <v>47</v>
      </c>
    </row>
    <row r="10" spans="1:9" x14ac:dyDescent="0.25">
      <c r="C10" s="4"/>
      <c r="H10" s="3" t="s">
        <v>24</v>
      </c>
      <c r="I10" s="3">
        <v>100</v>
      </c>
    </row>
    <row r="11" spans="1:9" x14ac:dyDescent="0.25">
      <c r="H11" s="3" t="s">
        <v>25</v>
      </c>
      <c r="I11" s="3">
        <v>98</v>
      </c>
    </row>
    <row r="12" spans="1:9" x14ac:dyDescent="0.25">
      <c r="H12" s="3" t="s">
        <v>26</v>
      </c>
      <c r="I12" s="3" t="s">
        <v>57</v>
      </c>
    </row>
    <row r="13" spans="1:9" x14ac:dyDescent="0.25">
      <c r="H13" s="3" t="s">
        <v>63</v>
      </c>
      <c r="I13" s="3" t="s">
        <v>18</v>
      </c>
    </row>
    <row r="14" spans="1:9" x14ac:dyDescent="0.25">
      <c r="H14" s="3" t="s">
        <v>52</v>
      </c>
      <c r="I14" s="3" t="s">
        <v>70</v>
      </c>
    </row>
    <row r="15" spans="1:9" x14ac:dyDescent="0.25">
      <c r="H15" s="3" t="s">
        <v>27</v>
      </c>
      <c r="I15" s="3">
        <v>2</v>
      </c>
    </row>
    <row r="16" spans="1:9" x14ac:dyDescent="0.25">
      <c r="D16" s="4"/>
      <c r="H16" s="3" t="s">
        <v>48</v>
      </c>
      <c r="I16" s="3">
        <v>98</v>
      </c>
    </row>
    <row r="17" spans="8:10" x14ac:dyDescent="0.25">
      <c r="H17" s="3" t="s">
        <v>28</v>
      </c>
      <c r="I17" s="3">
        <v>0</v>
      </c>
    </row>
    <row r="18" spans="8:10" x14ac:dyDescent="0.25">
      <c r="H18" s="3" t="s">
        <v>29</v>
      </c>
      <c r="I18" s="3">
        <v>99.9</v>
      </c>
    </row>
    <row r="19" spans="8:10" x14ac:dyDescent="0.25">
      <c r="H19" s="3" t="s">
        <v>30</v>
      </c>
      <c r="I19" s="3" t="s">
        <v>60</v>
      </c>
    </row>
    <row r="20" spans="8:10" x14ac:dyDescent="0.25">
      <c r="H20" s="3" t="s">
        <v>31</v>
      </c>
    </row>
    <row r="21" spans="8:10" x14ac:dyDescent="0.25">
      <c r="I21" s="3" t="s">
        <v>32</v>
      </c>
      <c r="J21" s="3" t="s">
        <v>65</v>
      </c>
    </row>
    <row r="22" spans="8:10" x14ac:dyDescent="0.25">
      <c r="I22" s="3" t="s">
        <v>33</v>
      </c>
      <c r="J22" s="3" t="s">
        <v>66</v>
      </c>
    </row>
    <row r="23" spans="8:10" x14ac:dyDescent="0.25">
      <c r="I23" s="3" t="s">
        <v>34</v>
      </c>
      <c r="J23" s="3">
        <v>202612</v>
      </c>
    </row>
    <row r="24" spans="8:10" x14ac:dyDescent="0.25">
      <c r="I24" s="3" t="s">
        <v>35</v>
      </c>
      <c r="J24" s="3" t="s">
        <v>67</v>
      </c>
    </row>
    <row r="25" spans="8:10" x14ac:dyDescent="0.25">
      <c r="I25" s="3" t="s">
        <v>36</v>
      </c>
      <c r="J25" s="3" t="s">
        <v>64</v>
      </c>
    </row>
    <row r="26" spans="8:10" x14ac:dyDescent="0.25">
      <c r="H26" s="3" t="s">
        <v>37</v>
      </c>
    </row>
    <row r="27" spans="8:10" x14ac:dyDescent="0.25">
      <c r="I27" s="3" t="s">
        <v>38</v>
      </c>
      <c r="J27" s="3" t="s">
        <v>10</v>
      </c>
    </row>
    <row r="28" spans="8:10" x14ac:dyDescent="0.25">
      <c r="I28" s="3" t="s">
        <v>49</v>
      </c>
      <c r="J28" s="3" t="s">
        <v>1</v>
      </c>
    </row>
    <row r="29" spans="8:10" x14ac:dyDescent="0.25">
      <c r="I29" s="3" t="s">
        <v>50</v>
      </c>
      <c r="J29" s="3" t="s">
        <v>1</v>
      </c>
    </row>
    <row r="30" spans="8:10" x14ac:dyDescent="0.25">
      <c r="H30" s="3" t="s">
        <v>54</v>
      </c>
    </row>
    <row r="31" spans="8:10" x14ac:dyDescent="0.25">
      <c r="H31" s="3" t="s">
        <v>55</v>
      </c>
    </row>
    <row r="32" spans="8:10" x14ac:dyDescent="0.25">
      <c r="H32" s="3" t="s">
        <v>51</v>
      </c>
      <c r="I32" s="3" t="s">
        <v>71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status.Status">
                <anchor moveWithCells="1" sizeWithCells="1">
                  <from>
                    <xdr:col>0</xdr:col>
                    <xdr:colOff>152400</xdr:colOff>
                    <xdr:row>4</xdr:row>
                    <xdr:rowOff>85725</xdr:rowOff>
                  </from>
                  <to>
                    <xdr:col>1</xdr:col>
                    <xdr:colOff>895350</xdr:colOff>
                    <xdr:row>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CD613A7-7A15-41B1-BC14-6C618BADCBD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2</vt:i4>
      </vt:variant>
      <vt:variant>
        <vt:lpstr>Intervalli denominati</vt:lpstr>
      </vt:variant>
      <vt:variant>
        <vt:i4>20</vt:i4>
      </vt:variant>
    </vt:vector>
  </HeadingPairs>
  <TitlesOfParts>
    <vt:vector size="22" baseType="lpstr">
      <vt:lpstr>ORDER</vt:lpstr>
      <vt:lpstr>STATUS</vt:lpstr>
      <vt:lpstr>account</vt:lpstr>
      <vt:lpstr>endpoint</vt:lpstr>
      <vt:lpstr>executor</vt:lpstr>
      <vt:lpstr>gateway</vt:lpstr>
      <vt:lpstr>host</vt:lpstr>
      <vt:lpstr>investor</vt:lpstr>
      <vt:lpstr>locationid</vt:lpstr>
      <vt:lpstr>maturity</vt:lpstr>
      <vt:lpstr>orderid</vt:lpstr>
      <vt:lpstr>ordtype</vt:lpstr>
      <vt:lpstr>payoff</vt:lpstr>
      <vt:lpstr>price</vt:lpstr>
      <vt:lpstr>qty</vt:lpstr>
      <vt:lpstr>secretkey</vt:lpstr>
      <vt:lpstr>securityExchange</vt:lpstr>
      <vt:lpstr>securityType</vt:lpstr>
      <vt:lpstr>side</vt:lpstr>
      <vt:lpstr>spimi</vt:lpstr>
      <vt:lpstr>strike</vt:lpstr>
      <vt:lpstr>symbol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giulio francesca</dc:creator>
  <cp:lastModifiedBy>giulio francesca</cp:lastModifiedBy>
  <dcterms:created xsi:type="dcterms:W3CDTF">2021-01-20T13:59:11Z</dcterms:created>
  <dcterms:modified xsi:type="dcterms:W3CDTF">2021-02-15T14:00:20Z</dcterms:modified>
</cp:coreProperties>
</file>