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iuli\Desktop\ResourceOMS\"/>
    </mc:Choice>
  </mc:AlternateContent>
  <xr:revisionPtr revIDLastSave="0" documentId="13_ncr:1_{B180571F-879C-48B0-8E87-0BB83C42764E}" xr6:coauthVersionLast="46" xr6:coauthVersionMax="46" xr10:uidLastSave="{00000000-0000-0000-0000-000000000000}"/>
  <bookViews>
    <workbookView xWindow="28680" yWindow="-120" windowWidth="29040" windowHeight="16440" xr2:uid="{09E372E6-7650-4887-8C8A-7709C087C598}"/>
  </bookViews>
  <sheets>
    <sheet name="ORDER" sheetId="5" r:id="rId1"/>
    <sheet name="STATUS" sheetId="7" r:id="rId2"/>
  </sheets>
  <functionGroups builtInGroupCount="19"/>
  <definedNames>
    <definedName name="account">ORDER!$B$15</definedName>
    <definedName name="endpoint">ORDER!$B$7</definedName>
    <definedName name="executor">ORDER!$B$16</definedName>
    <definedName name="gateway">ORDER!$B$3</definedName>
    <definedName name="host">ORDER!$B$1</definedName>
    <definedName name="investor">ORDER!$B$17</definedName>
    <definedName name="maturityMonthYear">ORDER!$B$22</definedName>
    <definedName name="orderid">ORDER!$B$10</definedName>
    <definedName name="ordtype">ORDER!$B$12</definedName>
    <definedName name="payoff">ORDER!$B$24</definedName>
    <definedName name="price">ORDER!$B$14</definedName>
    <definedName name="qty">ORDER!$B$11</definedName>
    <definedName name="secretkey">ORDER!$B$5</definedName>
    <definedName name="securityExchange">ORDER!$B$20</definedName>
    <definedName name="securityType">ORDER!$B$21</definedName>
    <definedName name="senderLocationId">ORDER!$B$18</definedName>
    <definedName name="side">ORDER!$B$13</definedName>
    <definedName name="spimi">ORDER!$B$4</definedName>
    <definedName name="strikePrice">ORDER!$B$23</definedName>
    <definedName name="symbol">ORDER!$B$19</definedName>
    <definedName name="timeInForce">ORDER!$B$9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B08391-2A25-48BE-AAA4-9118D62733C6}" keepAlive="1" name="Query - Tabella2" description="Connessione alla query 'Tabella2' nella cartella di lavoro." type="5" refreshedVersion="6" background="1">
    <dbPr connection="Provider=Microsoft.Mashup.OleDb.1;Data Source=$Workbook$;Location=Tabella2;Extended Properties=&quot;&quot;" command="SELECT * FROM [Tabella2]"/>
  </connection>
  <connection id="2" xr16:uid="{D5097A1F-A23D-4AB1-B156-FD99F3ECEC53}" keepAlive="1" name="Query - Tabella4" description="Connessione alla query 'Tabella4' nella cartella di lavoro." type="5" refreshedVersion="6" background="1">
    <dbPr connection="Provider=Microsoft.Mashup.OleDb.1;Data Source=$Workbook$;Location=Tabella4;Extended Properties=&quot;&quot;" command="SELECT * FROM [Tabella4]"/>
  </connection>
</connections>
</file>

<file path=xl/sharedStrings.xml><?xml version="1.0" encoding="utf-8"?>
<sst xmlns="http://schemas.openxmlformats.org/spreadsheetml/2006/main" count="222" uniqueCount="87">
  <si>
    <t>SPIMI</t>
  </si>
  <si>
    <t>U392334</t>
  </si>
  <si>
    <t>ORDERID</t>
  </si>
  <si>
    <t>QTY</t>
  </si>
  <si>
    <t>ORDTYPE</t>
  </si>
  <si>
    <t>SIDE</t>
  </si>
  <si>
    <t>PRICE</t>
  </si>
  <si>
    <t>ACCOUNT</t>
  </si>
  <si>
    <t>EXECUTOR</t>
  </si>
  <si>
    <t>INVESTOR</t>
  </si>
  <si>
    <t>BT</t>
  </si>
  <si>
    <t>LOCATIONID</t>
  </si>
  <si>
    <t>SYMBOL</t>
  </si>
  <si>
    <t>SECURITYEXCHANGE</t>
  </si>
  <si>
    <t>SECURITYTYPE</t>
  </si>
  <si>
    <t>MATURITY</t>
  </si>
  <si>
    <t>STRIKE</t>
  </si>
  <si>
    <t>PAYOFF</t>
  </si>
  <si>
    <t>fastfill</t>
  </si>
  <si>
    <t>clOrdId</t>
  </si>
  <si>
    <t>resourceOrderId</t>
  </si>
  <si>
    <t>sequence</t>
  </si>
  <si>
    <t>orderId</t>
  </si>
  <si>
    <t>timeInForce</t>
  </si>
  <si>
    <t>qty</t>
  </si>
  <si>
    <t>side</t>
  </si>
  <si>
    <t>status</t>
  </si>
  <si>
    <t>leavesQty</t>
  </si>
  <si>
    <t>avgPx</t>
  </si>
  <si>
    <t>statusText</t>
  </si>
  <si>
    <t>instrument</t>
  </si>
  <si>
    <t>securityExchange</t>
  </si>
  <si>
    <t>securityType</t>
  </si>
  <si>
    <t>maturityMonthYear</t>
  </si>
  <si>
    <t>cfiCode</t>
  </si>
  <si>
    <t>symbol</t>
  </si>
  <si>
    <t>parties</t>
  </si>
  <si>
    <t>account</t>
  </si>
  <si>
    <t>/orders/createSimple</t>
  </si>
  <si>
    <t>ENDPONT</t>
  </si>
  <si>
    <t>GATEWAY</t>
  </si>
  <si>
    <t>HOST</t>
  </si>
  <si>
    <t>SECRET_KEY</t>
  </si>
  <si>
    <t>ENDPOINT</t>
  </si>
  <si>
    <t>ordType</t>
  </si>
  <si>
    <t>CV</t>
  </si>
  <si>
    <t>cumQty</t>
  </si>
  <si>
    <t>investor</t>
  </si>
  <si>
    <t>executor</t>
  </si>
  <si>
    <t>creation_time</t>
  </si>
  <si>
    <t>transactTime</t>
  </si>
  <si>
    <t>marketOrderId</t>
  </si>
  <si>
    <t>expireDate</t>
  </si>
  <si>
    <t>origClOrdId</t>
  </si>
  <si>
    <t>dma-rest-res10-svia.cloudfinanza-svil.intesasanpaolo.com</t>
  </si>
  <si>
    <t>lastPx</t>
  </si>
  <si>
    <t>lastQty</t>
  </si>
  <si>
    <t>Filled</t>
  </si>
  <si>
    <t>spimi</t>
  </si>
  <si>
    <t>gateway</t>
  </si>
  <si>
    <t>ISP</t>
  </si>
  <si>
    <t>IDEM</t>
  </si>
  <si>
    <t>OPT</t>
  </si>
  <si>
    <t>CALL</t>
  </si>
  <si>
    <t>strikePrice</t>
  </si>
  <si>
    <t>OCXXXX</t>
  </si>
  <si>
    <t>payoff</t>
  </si>
  <si>
    <t>MARKET</t>
  </si>
  <si>
    <t>TIMEINFORCE</t>
  </si>
  <si>
    <t>history</t>
  </si>
  <si>
    <t>A</t>
  </si>
  <si>
    <t>Pending New</t>
  </si>
  <si>
    <t>New</t>
  </si>
  <si>
    <t>SELL</t>
  </si>
  <si>
    <t>1044d267-9716-4cc5-a4fc-8f1813332e74</t>
  </si>
  <si>
    <t>392334|1044d267-9716-4cc5-a4fc-8f1813332e74|44286.6856471065</t>
  </si>
  <si>
    <t>2021-03-31T14:27:19.850474</t>
  </si>
  <si>
    <t>2021-03-31T16:27:20.000077</t>
  </si>
  <si>
    <t>30203-637527976398441479-29</t>
  </si>
  <si>
    <t>2021-03-31T14:27:19.8454</t>
  </si>
  <si>
    <t>2021-03-31T16:27:19.000906</t>
  </si>
  <si>
    <t>2021-03-31T14:27:19.852881</t>
  </si>
  <si>
    <t>2021-03-31T16:27:19.000983</t>
  </si>
  <si>
    <t>IC</t>
  </si>
  <si>
    <t>IT</t>
  </si>
  <si>
    <t>e</t>
  </si>
  <si>
    <t>secretKey can't be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</si>
</sst>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0" fontId="0" fillId="0" borderId="0" xfId="0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quotePrefix="1" applyNumberFormat="1" applyFill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9525</xdr:rowOff>
        </xdr:from>
        <xdr:to>
          <xdr:col>4</xdr:col>
          <xdr:colOff>523875</xdr:colOff>
          <xdr:row>5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85725</xdr:rowOff>
        </xdr:from>
        <xdr:to>
          <xdr:col>1</xdr:col>
          <xdr:colOff>895350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D33A5-9D55-4FD8-A2AD-D832762F624A}">
  <sheetPr codeName="Foglio2"/>
  <dimension ref="A1:J24"/>
  <sheetViews>
    <sheetView tabSelected="1" zoomScale="90" zoomScaleNormal="90" workbookViewId="0">
      <selection activeCell="C22" sqref="C22"/>
    </sheetView>
  </sheetViews>
  <sheetFormatPr defaultColWidth="18.85546875" defaultRowHeight="15" x14ac:dyDescent="0.25"/>
  <cols>
    <col min="1" max="1" width="19" style="4" bestFit="1" customWidth="1"/>
    <col min="2" max="2" width="54.140625" style="4" bestFit="1" customWidth="1"/>
    <col min="3" max="7" width="18.85546875" style="1"/>
    <col min="8" max="8" width="11.7109375" style="1" bestFit="1" customWidth="1"/>
    <col min="9" max="9" width="21.140625" style="1" bestFit="1" customWidth="1"/>
    <col min="10" max="10" width="9" style="1" bestFit="1" customWidth="1"/>
    <col min="11" max="16384" width="18.85546875" style="1"/>
  </cols>
  <sheetData>
    <row r="1" spans="1:10" x14ac:dyDescent="0.25">
      <c r="A1" s="4" t="s">
        <v>41</v>
      </c>
      <c r="B1" s="4" t="s">
        <v>54</v>
      </c>
    </row>
    <row r="2" spans="1:10" x14ac:dyDescent="0.25">
      <c r="H2" s="1" t="s">
        <v>22</v>
      </c>
      <c r="I2" s="1">
        <v>44286.7613868056</v>
      </c>
    </row>
    <row r="3" spans="1:10" x14ac:dyDescent="0.25">
      <c r="A3" s="4" t="s">
        <v>40</v>
      </c>
      <c r="B3" s="4" t="s">
        <v>18</v>
      </c>
      <c r="H3" s="1" t="s">
        <v>44</v>
      </c>
      <c r="I3" s="1" t="s">
        <v>67</v>
      </c>
    </row>
    <row r="4" spans="1:10" x14ac:dyDescent="0.25">
      <c r="A4" s="4" t="s">
        <v>0</v>
      </c>
      <c r="H4" s="1" t="s">
        <v>23</v>
      </c>
      <c r="I4" s="1" t="s">
        <v>83</v>
      </c>
    </row>
    <row r="5" spans="1:10" x14ac:dyDescent="0.25">
      <c r="A5" s="4" t="s">
        <v>42</v>
      </c>
      <c r="H5" s="1" t="s">
        <v>24</v>
      </c>
      <c r="I5" s="1">
        <v>1</v>
      </c>
    </row>
    <row r="6" spans="1:10" x14ac:dyDescent="0.25">
      <c r="H6" s="1" t="s">
        <v>25</v>
      </c>
      <c r="I6" s="1" t="s">
        <v>73</v>
      </c>
    </row>
    <row r="7" spans="1:10" x14ac:dyDescent="0.25">
      <c r="A7" s="4" t="s">
        <v>43</v>
      </c>
      <c r="B7" s="4" t="s">
        <v>38</v>
      </c>
      <c r="H7" s="1" t="s">
        <v>26</v>
      </c>
      <c r="I7" s="1" t="s">
        <v>85</v>
      </c>
    </row>
    <row r="8" spans="1:10" x14ac:dyDescent="0.25">
      <c r="H8" s="1" t="s">
        <v>29</v>
      </c>
      <c r="I8" s="1" t="s">
        <v>86</v>
      </c>
    </row>
    <row r="9" spans="1:10" x14ac:dyDescent="0.25">
      <c r="A9" s="4" t="s">
        <v>68</v>
      </c>
      <c r="B9" s="4" t="s">
        <v>83</v>
      </c>
      <c r="H9" s="1" t="s">
        <v>30</v>
      </c>
    </row>
    <row r="10" spans="1:10" x14ac:dyDescent="0.25">
      <c r="A10" s="4" t="s">
        <v>2</v>
      </c>
      <c r="B10" s="5">
        <f ca="1">NOW()</f>
        <v>44286.761528587966</v>
      </c>
      <c r="I10" s="1" t="s">
        <v>31</v>
      </c>
      <c r="J10" s="1" t="s">
        <v>61</v>
      </c>
    </row>
    <row r="11" spans="1:10" x14ac:dyDescent="0.25">
      <c r="A11" s="4" t="s">
        <v>3</v>
      </c>
      <c r="B11" s="4">
        <v>1</v>
      </c>
      <c r="I11" s="1" t="s">
        <v>32</v>
      </c>
      <c r="J11" s="1" t="s">
        <v>62</v>
      </c>
    </row>
    <row r="12" spans="1:10" x14ac:dyDescent="0.25">
      <c r="A12" s="4" t="s">
        <v>4</v>
      </c>
      <c r="B12" s="6" t="s">
        <v>67</v>
      </c>
      <c r="I12" s="1" t="s">
        <v>33</v>
      </c>
      <c r="J12" s="1">
        <v>202112</v>
      </c>
    </row>
    <row r="13" spans="1:10" x14ac:dyDescent="0.25">
      <c r="A13" s="4" t="s">
        <v>5</v>
      </c>
      <c r="B13" s="4" t="s">
        <v>73</v>
      </c>
      <c r="I13" s="1" t="s">
        <v>64</v>
      </c>
      <c r="J13" s="1">
        <v>1</v>
      </c>
    </row>
    <row r="14" spans="1:10" x14ac:dyDescent="0.25">
      <c r="A14" s="4" t="s">
        <v>6</v>
      </c>
      <c r="B14" s="7"/>
      <c r="I14" s="1" t="s">
        <v>66</v>
      </c>
      <c r="J14" s="1" t="s">
        <v>63</v>
      </c>
    </row>
    <row r="15" spans="1:10" x14ac:dyDescent="0.25">
      <c r="A15" s="4" t="s">
        <v>7</v>
      </c>
      <c r="B15" s="4" t="s">
        <v>10</v>
      </c>
      <c r="I15" s="1" t="s">
        <v>35</v>
      </c>
      <c r="J15" s="1" t="s">
        <v>60</v>
      </c>
    </row>
    <row r="16" spans="1:10" x14ac:dyDescent="0.25">
      <c r="A16" s="4" t="s">
        <v>8</v>
      </c>
      <c r="B16" s="4" t="s">
        <v>1</v>
      </c>
      <c r="H16" s="1" t="s">
        <v>36</v>
      </c>
    </row>
    <row r="17" spans="1:10" x14ac:dyDescent="0.25">
      <c r="A17" s="4" t="s">
        <v>9</v>
      </c>
      <c r="B17" s="4" t="s">
        <v>1</v>
      </c>
      <c r="I17" s="1" t="s">
        <v>37</v>
      </c>
      <c r="J17" s="1" t="s">
        <v>10</v>
      </c>
    </row>
    <row r="18" spans="1:10" x14ac:dyDescent="0.25">
      <c r="A18" s="4" t="s">
        <v>11</v>
      </c>
      <c r="B18" s="4" t="s">
        <v>84</v>
      </c>
      <c r="I18" s="1" t="s">
        <v>47</v>
      </c>
      <c r="J18" s="1" t="s">
        <v>1</v>
      </c>
    </row>
    <row r="19" spans="1:10" x14ac:dyDescent="0.25">
      <c r="A19" s="4" t="s">
        <v>12</v>
      </c>
      <c r="B19" s="4" t="s">
        <v>60</v>
      </c>
      <c r="I19" s="1" t="s">
        <v>48</v>
      </c>
      <c r="J19" s="1" t="s">
        <v>1</v>
      </c>
    </row>
    <row r="20" spans="1:10" x14ac:dyDescent="0.25">
      <c r="A20" s="4" t="s">
        <v>13</v>
      </c>
      <c r="B20" s="4" t="s">
        <v>61</v>
      </c>
    </row>
    <row r="21" spans="1:10" x14ac:dyDescent="0.25">
      <c r="A21" s="4" t="s">
        <v>14</v>
      </c>
      <c r="B21" s="4" t="s">
        <v>62</v>
      </c>
    </row>
    <row r="22" spans="1:10" x14ac:dyDescent="0.25">
      <c r="A22" s="4" t="s">
        <v>15</v>
      </c>
      <c r="B22" s="8">
        <v>202112</v>
      </c>
    </row>
    <row r="23" spans="1:10" x14ac:dyDescent="0.25">
      <c r="A23" s="4" t="s">
        <v>16</v>
      </c>
      <c r="B23" s="4">
        <v>1</v>
      </c>
    </row>
    <row r="24" spans="1:10" x14ac:dyDescent="0.25">
      <c r="A24" s="4" t="s">
        <v>17</v>
      </c>
      <c r="B24" s="4" t="s">
        <v>63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ewOrder.newOrder">
                <anchor moveWithCells="1" sizeWithCells="1">
                  <from>
                    <xdr:col>3</xdr:col>
                    <xdr:colOff>38100</xdr:colOff>
                    <xdr:row>3</xdr:row>
                    <xdr:rowOff>9525</xdr:rowOff>
                  </from>
                  <to>
                    <xdr:col>4</xdr:col>
                    <xdr:colOff>523875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0BD9D-F7D1-47C0-9D11-7AFD30122A17}">
  <sheetPr codeName="Foglio3"/>
  <dimension ref="A1:J103"/>
  <sheetViews>
    <sheetView workbookViewId="0">
      <selection activeCell="F22" sqref="F22"/>
    </sheetView>
  </sheetViews>
  <sheetFormatPr defaultRowHeight="15" x14ac:dyDescent="0.25"/>
  <cols>
    <col min="1" max="1" width="9.7109375" style="2" bestFit="1" customWidth="1"/>
    <col min="2" max="2" width="12" style="2" bestFit="1" customWidth="1"/>
    <col min="3" max="7" width="9.140625" style="2"/>
    <col min="8" max="8" width="15.7109375" style="2" bestFit="1" customWidth="1"/>
    <col min="9" max="9" width="60.42578125" style="2" bestFit="1" customWidth="1"/>
    <col min="10" max="10" width="8.28515625" style="2" bestFit="1" customWidth="1"/>
    <col min="11" max="16384" width="9.140625" style="2"/>
  </cols>
  <sheetData>
    <row r="1" spans="1:9" x14ac:dyDescent="0.25">
      <c r="A1" s="2" t="s">
        <v>39</v>
      </c>
      <c r="B1" s="2" t="s">
        <v>69</v>
      </c>
    </row>
    <row r="2" spans="1:9" x14ac:dyDescent="0.25">
      <c r="A2" s="2" t="s">
        <v>2</v>
      </c>
      <c r="B2" s="1">
        <v>44286.685647106497</v>
      </c>
      <c r="H2" s="2" t="s">
        <v>19</v>
      </c>
      <c r="I2" s="2" t="s">
        <v>74</v>
      </c>
    </row>
    <row r="3" spans="1:9" x14ac:dyDescent="0.25">
      <c r="H3" s="2" t="s">
        <v>20</v>
      </c>
      <c r="I3" s="2" t="s">
        <v>75</v>
      </c>
    </row>
    <row r="4" spans="1:9" x14ac:dyDescent="0.25">
      <c r="H4" s="2" t="s">
        <v>51</v>
      </c>
      <c r="I4" s="2" t="s">
        <v>78</v>
      </c>
    </row>
    <row r="5" spans="1:9" x14ac:dyDescent="0.25">
      <c r="H5" s="2" t="s">
        <v>22</v>
      </c>
      <c r="I5" s="2">
        <v>44286.685647106497</v>
      </c>
    </row>
    <row r="6" spans="1:9" x14ac:dyDescent="0.25">
      <c r="H6" s="2" t="s">
        <v>58</v>
      </c>
      <c r="I6" s="2" t="s">
        <v>1</v>
      </c>
    </row>
    <row r="7" spans="1:9" x14ac:dyDescent="0.25">
      <c r="H7" s="2" t="s">
        <v>21</v>
      </c>
      <c r="I7" s="2">
        <v>1</v>
      </c>
    </row>
    <row r="8" spans="1:9" x14ac:dyDescent="0.25">
      <c r="H8" s="2" t="s">
        <v>44</v>
      </c>
      <c r="I8" s="2" t="s">
        <v>67</v>
      </c>
    </row>
    <row r="9" spans="1:9" x14ac:dyDescent="0.25">
      <c r="H9" s="2" t="s">
        <v>23</v>
      </c>
      <c r="I9" s="2" t="s">
        <v>45</v>
      </c>
    </row>
    <row r="10" spans="1:9" x14ac:dyDescent="0.25">
      <c r="C10" s="3"/>
      <c r="H10" s="2" t="s">
        <v>24</v>
      </c>
      <c r="I10" s="2">
        <v>5</v>
      </c>
    </row>
    <row r="11" spans="1:9" x14ac:dyDescent="0.25">
      <c r="H11" s="2" t="s">
        <v>25</v>
      </c>
      <c r="I11" s="2" t="s">
        <v>73</v>
      </c>
    </row>
    <row r="12" spans="1:9" x14ac:dyDescent="0.25">
      <c r="H12" s="2" t="s">
        <v>59</v>
      </c>
      <c r="I12" s="2" t="s">
        <v>18</v>
      </c>
    </row>
    <row r="13" spans="1:9" x14ac:dyDescent="0.25">
      <c r="H13" s="2" t="s">
        <v>50</v>
      </c>
      <c r="I13" s="2" t="s">
        <v>79</v>
      </c>
    </row>
    <row r="14" spans="1:9" x14ac:dyDescent="0.25">
      <c r="H14" s="2" t="s">
        <v>26</v>
      </c>
      <c r="I14" s="2" t="s">
        <v>70</v>
      </c>
    </row>
    <row r="15" spans="1:9" x14ac:dyDescent="0.25">
      <c r="H15" s="2" t="s">
        <v>46</v>
      </c>
      <c r="I15" s="2">
        <v>0</v>
      </c>
    </row>
    <row r="16" spans="1:9" x14ac:dyDescent="0.25">
      <c r="D16" s="3"/>
      <c r="H16" s="2" t="s">
        <v>27</v>
      </c>
      <c r="I16" s="2">
        <v>5</v>
      </c>
    </row>
    <row r="17" spans="8:10" x14ac:dyDescent="0.25">
      <c r="H17" s="2" t="s">
        <v>28</v>
      </c>
      <c r="I17" s="2">
        <v>0</v>
      </c>
    </row>
    <row r="18" spans="8:10" x14ac:dyDescent="0.25">
      <c r="H18" s="2" t="s">
        <v>29</v>
      </c>
      <c r="I18" s="2" t="s">
        <v>71</v>
      </c>
    </row>
    <row r="19" spans="8:10" x14ac:dyDescent="0.25">
      <c r="H19" s="2" t="s">
        <v>30</v>
      </c>
    </row>
    <row r="20" spans="8:10" x14ac:dyDescent="0.25">
      <c r="I20" s="2" t="s">
        <v>31</v>
      </c>
      <c r="J20" s="2" t="s">
        <v>61</v>
      </c>
    </row>
    <row r="21" spans="8:10" x14ac:dyDescent="0.25">
      <c r="I21" s="2" t="s">
        <v>32</v>
      </c>
      <c r="J21" s="2" t="s">
        <v>62</v>
      </c>
    </row>
    <row r="22" spans="8:10" x14ac:dyDescent="0.25">
      <c r="I22" s="2" t="s">
        <v>33</v>
      </c>
      <c r="J22" s="2">
        <v>202112</v>
      </c>
    </row>
    <row r="23" spans="8:10" x14ac:dyDescent="0.25">
      <c r="I23" s="2" t="s">
        <v>64</v>
      </c>
      <c r="J23" s="2">
        <v>1</v>
      </c>
    </row>
    <row r="24" spans="8:10" x14ac:dyDescent="0.25">
      <c r="I24" s="2" t="s">
        <v>34</v>
      </c>
      <c r="J24" s="2" t="s">
        <v>65</v>
      </c>
    </row>
    <row r="25" spans="8:10" x14ac:dyDescent="0.25">
      <c r="I25" s="2" t="s">
        <v>66</v>
      </c>
      <c r="J25" s="2" t="s">
        <v>63</v>
      </c>
    </row>
    <row r="26" spans="8:10" x14ac:dyDescent="0.25">
      <c r="I26" s="2" t="s">
        <v>35</v>
      </c>
      <c r="J26" s="2" t="s">
        <v>60</v>
      </c>
    </row>
    <row r="27" spans="8:10" x14ac:dyDescent="0.25">
      <c r="H27" s="2" t="s">
        <v>36</v>
      </c>
    </row>
    <row r="28" spans="8:10" x14ac:dyDescent="0.25">
      <c r="I28" s="2" t="s">
        <v>37</v>
      </c>
      <c r="J28" s="2" t="s">
        <v>10</v>
      </c>
    </row>
    <row r="29" spans="8:10" x14ac:dyDescent="0.25">
      <c r="I29" s="2" t="s">
        <v>47</v>
      </c>
      <c r="J29" s="2" t="s">
        <v>1</v>
      </c>
    </row>
    <row r="30" spans="8:10" x14ac:dyDescent="0.25">
      <c r="I30" s="2" t="s">
        <v>48</v>
      </c>
      <c r="J30" s="2" t="s">
        <v>1</v>
      </c>
    </row>
    <row r="31" spans="8:10" x14ac:dyDescent="0.25">
      <c r="H31" s="2" t="s">
        <v>52</v>
      </c>
    </row>
    <row r="32" spans="8:10" x14ac:dyDescent="0.25">
      <c r="H32" s="2" t="s">
        <v>53</v>
      </c>
    </row>
    <row r="33" spans="8:9" x14ac:dyDescent="0.25">
      <c r="H33" s="2" t="s">
        <v>49</v>
      </c>
      <c r="I33" s="2" t="s">
        <v>80</v>
      </c>
    </row>
    <row r="36" spans="8:9" x14ac:dyDescent="0.25">
      <c r="H36" s="2" t="s">
        <v>19</v>
      </c>
      <c r="I36" s="2" t="s">
        <v>74</v>
      </c>
    </row>
    <row r="37" spans="8:9" x14ac:dyDescent="0.25">
      <c r="H37" s="2" t="s">
        <v>20</v>
      </c>
      <c r="I37" s="2" t="s">
        <v>75</v>
      </c>
    </row>
    <row r="38" spans="8:9" x14ac:dyDescent="0.25">
      <c r="H38" s="2" t="s">
        <v>51</v>
      </c>
      <c r="I38" s="2">
        <v>2842913613</v>
      </c>
    </row>
    <row r="39" spans="8:9" x14ac:dyDescent="0.25">
      <c r="H39" s="2" t="s">
        <v>22</v>
      </c>
      <c r="I39" s="2">
        <v>44286.685647106497</v>
      </c>
    </row>
    <row r="40" spans="8:9" x14ac:dyDescent="0.25">
      <c r="H40" s="2" t="s">
        <v>58</v>
      </c>
      <c r="I40" s="2" t="s">
        <v>1</v>
      </c>
    </row>
    <row r="41" spans="8:9" x14ac:dyDescent="0.25">
      <c r="H41" s="2" t="s">
        <v>21</v>
      </c>
      <c r="I41" s="2">
        <v>2</v>
      </c>
    </row>
    <row r="42" spans="8:9" x14ac:dyDescent="0.25">
      <c r="H42" s="2" t="s">
        <v>44</v>
      </c>
      <c r="I42" s="2" t="s">
        <v>67</v>
      </c>
    </row>
    <row r="43" spans="8:9" x14ac:dyDescent="0.25">
      <c r="H43" s="2" t="s">
        <v>23</v>
      </c>
      <c r="I43" s="2" t="s">
        <v>45</v>
      </c>
    </row>
    <row r="44" spans="8:9" x14ac:dyDescent="0.25">
      <c r="H44" s="2" t="s">
        <v>24</v>
      </c>
      <c r="I44" s="2">
        <v>5</v>
      </c>
    </row>
    <row r="45" spans="8:9" x14ac:dyDescent="0.25">
      <c r="H45" s="2" t="s">
        <v>25</v>
      </c>
      <c r="I45" s="2" t="s">
        <v>73</v>
      </c>
    </row>
    <row r="46" spans="8:9" x14ac:dyDescent="0.25">
      <c r="H46" s="2" t="s">
        <v>59</v>
      </c>
      <c r="I46" s="2" t="s">
        <v>18</v>
      </c>
    </row>
    <row r="47" spans="8:9" x14ac:dyDescent="0.25">
      <c r="H47" s="2" t="s">
        <v>50</v>
      </c>
      <c r="I47" s="2" t="s">
        <v>81</v>
      </c>
    </row>
    <row r="48" spans="8:9" x14ac:dyDescent="0.25">
      <c r="H48" s="2" t="s">
        <v>26</v>
      </c>
      <c r="I48" s="2">
        <v>0</v>
      </c>
    </row>
    <row r="49" spans="8:10" x14ac:dyDescent="0.25">
      <c r="H49" s="2" t="s">
        <v>46</v>
      </c>
      <c r="I49" s="2">
        <v>0</v>
      </c>
    </row>
    <row r="50" spans="8:10" x14ac:dyDescent="0.25">
      <c r="H50" s="2" t="s">
        <v>27</v>
      </c>
      <c r="I50" s="2">
        <v>5</v>
      </c>
    </row>
    <row r="51" spans="8:10" x14ac:dyDescent="0.25">
      <c r="H51" s="2" t="s">
        <v>28</v>
      </c>
      <c r="I51" s="2">
        <v>0</v>
      </c>
    </row>
    <row r="52" spans="8:10" x14ac:dyDescent="0.25">
      <c r="H52" s="2" t="s">
        <v>29</v>
      </c>
      <c r="I52" s="2" t="s">
        <v>72</v>
      </c>
    </row>
    <row r="53" spans="8:10" x14ac:dyDescent="0.25">
      <c r="H53" s="2" t="s">
        <v>30</v>
      </c>
    </row>
    <row r="54" spans="8:10" x14ac:dyDescent="0.25">
      <c r="I54" s="2" t="s">
        <v>31</v>
      </c>
      <c r="J54" s="2" t="s">
        <v>61</v>
      </c>
    </row>
    <row r="55" spans="8:10" x14ac:dyDescent="0.25">
      <c r="I55" s="2" t="s">
        <v>32</v>
      </c>
      <c r="J55" s="2" t="s">
        <v>62</v>
      </c>
    </row>
    <row r="56" spans="8:10" x14ac:dyDescent="0.25">
      <c r="I56" s="2" t="s">
        <v>33</v>
      </c>
      <c r="J56" s="2">
        <v>202112</v>
      </c>
    </row>
    <row r="57" spans="8:10" x14ac:dyDescent="0.25">
      <c r="I57" s="2" t="s">
        <v>64</v>
      </c>
      <c r="J57" s="2">
        <v>1</v>
      </c>
    </row>
    <row r="58" spans="8:10" x14ac:dyDescent="0.25">
      <c r="I58" s="2" t="s">
        <v>34</v>
      </c>
      <c r="J58" s="2" t="s">
        <v>65</v>
      </c>
    </row>
    <row r="59" spans="8:10" x14ac:dyDescent="0.25">
      <c r="I59" s="2" t="s">
        <v>66</v>
      </c>
      <c r="J59" s="2" t="s">
        <v>63</v>
      </c>
    </row>
    <row r="60" spans="8:10" x14ac:dyDescent="0.25">
      <c r="I60" s="2" t="s">
        <v>35</v>
      </c>
      <c r="J60" s="2" t="s">
        <v>60</v>
      </c>
    </row>
    <row r="61" spans="8:10" x14ac:dyDescent="0.25">
      <c r="H61" s="2" t="s">
        <v>36</v>
      </c>
    </row>
    <row r="62" spans="8:10" x14ac:dyDescent="0.25">
      <c r="I62" s="2" t="s">
        <v>37</v>
      </c>
      <c r="J62" s="2" t="s">
        <v>10</v>
      </c>
    </row>
    <row r="63" spans="8:10" x14ac:dyDescent="0.25">
      <c r="I63" s="2" t="s">
        <v>47</v>
      </c>
      <c r="J63" s="2" t="s">
        <v>1</v>
      </c>
    </row>
    <row r="64" spans="8:10" x14ac:dyDescent="0.25">
      <c r="I64" s="2" t="s">
        <v>48</v>
      </c>
      <c r="J64" s="2" t="s">
        <v>1</v>
      </c>
    </row>
    <row r="65" spans="8:9" x14ac:dyDescent="0.25">
      <c r="H65" s="2" t="s">
        <v>52</v>
      </c>
    </row>
    <row r="66" spans="8:9" x14ac:dyDescent="0.25">
      <c r="H66" s="2" t="s">
        <v>53</v>
      </c>
    </row>
    <row r="67" spans="8:9" x14ac:dyDescent="0.25">
      <c r="H67" s="2" t="s">
        <v>49</v>
      </c>
      <c r="I67" s="2" t="s">
        <v>82</v>
      </c>
    </row>
    <row r="70" spans="8:9" x14ac:dyDescent="0.25">
      <c r="H70" s="2" t="s">
        <v>19</v>
      </c>
      <c r="I70" s="2" t="s">
        <v>74</v>
      </c>
    </row>
    <row r="71" spans="8:9" x14ac:dyDescent="0.25">
      <c r="H71" s="2" t="s">
        <v>20</v>
      </c>
      <c r="I71" s="2" t="s">
        <v>75</v>
      </c>
    </row>
    <row r="72" spans="8:9" x14ac:dyDescent="0.25">
      <c r="H72" s="2" t="s">
        <v>51</v>
      </c>
      <c r="I72" s="2">
        <v>2842913613</v>
      </c>
    </row>
    <row r="73" spans="8:9" x14ac:dyDescent="0.25">
      <c r="H73" s="2" t="s">
        <v>22</v>
      </c>
      <c r="I73" s="2">
        <v>44286.685647106497</v>
      </c>
    </row>
    <row r="74" spans="8:9" x14ac:dyDescent="0.25">
      <c r="H74" s="2" t="s">
        <v>58</v>
      </c>
      <c r="I74" s="2" t="s">
        <v>1</v>
      </c>
    </row>
    <row r="75" spans="8:9" x14ac:dyDescent="0.25">
      <c r="H75" s="2" t="s">
        <v>21</v>
      </c>
      <c r="I75" s="2">
        <v>3</v>
      </c>
    </row>
    <row r="76" spans="8:9" x14ac:dyDescent="0.25">
      <c r="H76" s="2" t="s">
        <v>44</v>
      </c>
      <c r="I76" s="2" t="s">
        <v>67</v>
      </c>
    </row>
    <row r="77" spans="8:9" x14ac:dyDescent="0.25">
      <c r="H77" s="2" t="s">
        <v>23</v>
      </c>
      <c r="I77" s="2" t="s">
        <v>45</v>
      </c>
    </row>
    <row r="78" spans="8:9" x14ac:dyDescent="0.25">
      <c r="H78" s="2" t="s">
        <v>24</v>
      </c>
      <c r="I78" s="2">
        <v>5</v>
      </c>
    </row>
    <row r="79" spans="8:9" x14ac:dyDescent="0.25">
      <c r="H79" s="2" t="s">
        <v>25</v>
      </c>
      <c r="I79" s="2" t="s">
        <v>73</v>
      </c>
    </row>
    <row r="80" spans="8:9" x14ac:dyDescent="0.25">
      <c r="H80" s="2" t="s">
        <v>59</v>
      </c>
      <c r="I80" s="2" t="s">
        <v>18</v>
      </c>
    </row>
    <row r="81" spans="8:10" x14ac:dyDescent="0.25">
      <c r="H81" s="2" t="s">
        <v>50</v>
      </c>
      <c r="I81" s="2" t="s">
        <v>76</v>
      </c>
    </row>
    <row r="82" spans="8:10" x14ac:dyDescent="0.25">
      <c r="H82" s="2" t="s">
        <v>26</v>
      </c>
      <c r="I82" s="2">
        <v>2</v>
      </c>
    </row>
    <row r="83" spans="8:10" x14ac:dyDescent="0.25">
      <c r="H83" s="2" t="s">
        <v>55</v>
      </c>
      <c r="I83" s="2">
        <v>1.24</v>
      </c>
    </row>
    <row r="84" spans="8:10" x14ac:dyDescent="0.25">
      <c r="H84" s="2" t="s">
        <v>56</v>
      </c>
      <c r="I84" s="2">
        <v>5</v>
      </c>
    </row>
    <row r="85" spans="8:10" x14ac:dyDescent="0.25">
      <c r="H85" s="2" t="s">
        <v>46</v>
      </c>
      <c r="I85" s="2">
        <v>5</v>
      </c>
    </row>
    <row r="86" spans="8:10" x14ac:dyDescent="0.25">
      <c r="H86" s="2" t="s">
        <v>27</v>
      </c>
      <c r="I86" s="2">
        <v>0</v>
      </c>
    </row>
    <row r="87" spans="8:10" x14ac:dyDescent="0.25">
      <c r="H87" s="2" t="s">
        <v>28</v>
      </c>
      <c r="I87" s="2">
        <v>1.24</v>
      </c>
    </row>
    <row r="88" spans="8:10" x14ac:dyDescent="0.25">
      <c r="H88" s="2" t="s">
        <v>29</v>
      </c>
      <c r="I88" s="2" t="s">
        <v>57</v>
      </c>
    </row>
    <row r="89" spans="8:10" x14ac:dyDescent="0.25">
      <c r="H89" s="2" t="s">
        <v>30</v>
      </c>
    </row>
    <row r="90" spans="8:10" x14ac:dyDescent="0.25">
      <c r="I90" s="2" t="s">
        <v>31</v>
      </c>
      <c r="J90" s="2" t="s">
        <v>61</v>
      </c>
    </row>
    <row r="91" spans="8:10" x14ac:dyDescent="0.25">
      <c r="I91" s="2" t="s">
        <v>32</v>
      </c>
      <c r="J91" s="2" t="s">
        <v>62</v>
      </c>
    </row>
    <row r="92" spans="8:10" x14ac:dyDescent="0.25">
      <c r="I92" s="2" t="s">
        <v>33</v>
      </c>
      <c r="J92" s="2">
        <v>202112</v>
      </c>
    </row>
    <row r="93" spans="8:10" x14ac:dyDescent="0.25">
      <c r="I93" s="2" t="s">
        <v>64</v>
      </c>
      <c r="J93" s="2">
        <v>1</v>
      </c>
    </row>
    <row r="94" spans="8:10" x14ac:dyDescent="0.25">
      <c r="I94" s="2" t="s">
        <v>34</v>
      </c>
      <c r="J94" s="2" t="s">
        <v>65</v>
      </c>
    </row>
    <row r="95" spans="8:10" x14ac:dyDescent="0.25">
      <c r="I95" s="2" t="s">
        <v>66</v>
      </c>
      <c r="J95" s="2" t="s">
        <v>63</v>
      </c>
    </row>
    <row r="96" spans="8:10" x14ac:dyDescent="0.25">
      <c r="I96" s="2" t="s">
        <v>35</v>
      </c>
      <c r="J96" s="2" t="s">
        <v>60</v>
      </c>
    </row>
    <row r="97" spans="8:10" x14ac:dyDescent="0.25">
      <c r="H97" s="2" t="s">
        <v>36</v>
      </c>
    </row>
    <row r="98" spans="8:10" x14ac:dyDescent="0.25">
      <c r="I98" s="2" t="s">
        <v>37</v>
      </c>
      <c r="J98" s="2" t="s">
        <v>10</v>
      </c>
    </row>
    <row r="99" spans="8:10" x14ac:dyDescent="0.25">
      <c r="I99" s="2" t="s">
        <v>47</v>
      </c>
      <c r="J99" s="2" t="s">
        <v>1</v>
      </c>
    </row>
    <row r="100" spans="8:10" x14ac:dyDescent="0.25">
      <c r="I100" s="2" t="s">
        <v>48</v>
      </c>
      <c r="J100" s="2" t="s">
        <v>1</v>
      </c>
    </row>
    <row r="101" spans="8:10" x14ac:dyDescent="0.25">
      <c r="H101" s="2" t="s">
        <v>52</v>
      </c>
    </row>
    <row r="102" spans="8:10" x14ac:dyDescent="0.25">
      <c r="H102" s="2" t="s">
        <v>53</v>
      </c>
    </row>
    <row r="103" spans="8:10" x14ac:dyDescent="0.25">
      <c r="H103" s="2" t="s">
        <v>49</v>
      </c>
      <c r="I103" s="2" t="s">
        <v>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status.Status">
                <anchor moveWithCells="1" sizeWithCells="1">
                  <from>
                    <xdr:col>0</xdr:col>
                    <xdr:colOff>152400</xdr:colOff>
                    <xdr:row>4</xdr:row>
                    <xdr:rowOff>85725</xdr:rowOff>
                  </from>
                  <to>
                    <xdr:col>1</xdr:col>
                    <xdr:colOff>895350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D613A7-7A15-41B1-BC14-6C618BADCB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21</vt:i4>
      </vt:variant>
    </vt:vector>
  </HeadingPairs>
  <TitlesOfParts>
    <vt:vector size="23" baseType="lpstr">
      <vt:lpstr>ORDER</vt:lpstr>
      <vt:lpstr>STATUS</vt:lpstr>
      <vt:lpstr>account</vt:lpstr>
      <vt:lpstr>endpoint</vt:lpstr>
      <vt:lpstr>executor</vt:lpstr>
      <vt:lpstr>gateway</vt:lpstr>
      <vt:lpstr>host</vt:lpstr>
      <vt:lpstr>investor</vt:lpstr>
      <vt:lpstr>maturityMonthYear</vt:lpstr>
      <vt:lpstr>orderid</vt:lpstr>
      <vt:lpstr>ordtype</vt:lpstr>
      <vt:lpstr>payoff</vt:lpstr>
      <vt:lpstr>price</vt:lpstr>
      <vt:lpstr>qty</vt:lpstr>
      <vt:lpstr>secretkey</vt:lpstr>
      <vt:lpstr>securityExchange</vt:lpstr>
      <vt:lpstr>securityType</vt:lpstr>
      <vt:lpstr>senderLocationId</vt:lpstr>
      <vt:lpstr>side</vt:lpstr>
      <vt:lpstr>spimi</vt:lpstr>
      <vt:lpstr>strikePrice</vt:lpstr>
      <vt:lpstr>symbol</vt:lpstr>
      <vt:lpstr>timeInForce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 francesca</dc:creator>
  <cp:lastModifiedBy>giulio francesca</cp:lastModifiedBy>
  <dcterms:created xsi:type="dcterms:W3CDTF">2021-01-20T13:59:11Z</dcterms:created>
  <dcterms:modified xsi:type="dcterms:W3CDTF">2021-03-31T16:16:38Z</dcterms:modified>
</cp:coreProperties>
</file>